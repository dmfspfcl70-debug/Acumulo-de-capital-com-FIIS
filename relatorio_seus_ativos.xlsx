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4e96c96c03753f/Desktop/"/>
    </mc:Choice>
  </mc:AlternateContent>
  <xr:revisionPtr revIDLastSave="0" documentId="8_{97C13C7A-82DA-48D2-B47A-0B3D3209D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us-ativos" sheetId="1" r:id="rId1"/>
  </sheets>
  <definedNames>
    <definedName name="_xlnm._FilterDatabase" localSheetId="0" hidden="1">'seus-ativos'!$A$4:$I$4</definedName>
  </definedNames>
  <calcPr calcId="181029"/>
</workbook>
</file>

<file path=xl/calcChain.xml><?xml version="1.0" encoding="utf-8"?>
<calcChain xmlns="http://schemas.openxmlformats.org/spreadsheetml/2006/main">
  <c r="J13" i="1" l="1"/>
  <c r="K13" i="1" s="1"/>
  <c r="I9" i="1"/>
  <c r="D11" i="1" l="1"/>
  <c r="E11" i="1" s="1"/>
  <c r="D12" i="1"/>
  <c r="D14" i="1"/>
  <c r="D13" i="1"/>
  <c r="D6" i="1"/>
  <c r="E6" i="1" s="1"/>
  <c r="D9" i="1"/>
  <c r="E9" i="1" s="1"/>
  <c r="D5" i="1"/>
  <c r="D8" i="1"/>
  <c r="E8" i="1" s="1"/>
  <c r="D10" i="1"/>
  <c r="E10" i="1" s="1"/>
  <c r="D7" i="1"/>
  <c r="E7" i="1" s="1"/>
  <c r="E5" i="1" l="1"/>
  <c r="H9" i="1"/>
  <c r="J9" i="1" l="1"/>
  <c r="I20" i="1" s="1"/>
  <c r="J20" i="1" s="1"/>
  <c r="K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</author>
  </authors>
  <commentList>
    <comment ref="K8" authorId="0" shapeId="0" xr:uid="{8199D92B-0B38-494B-BDD8-2CEB541CCA5C}">
      <text>
        <r>
          <rPr>
            <b/>
            <sz val="9"/>
            <color indexed="81"/>
            <rFont val="Segoe UI"/>
            <family val="2"/>
          </rPr>
          <t>Daniel:</t>
        </r>
        <r>
          <rPr>
            <sz val="9"/>
            <color indexed="81"/>
            <rFont val="Segoe UI"/>
            <family val="2"/>
          </rPr>
          <t xml:space="preserve">
Investimento mensal para alcançar o objetivo até dezembro 2026</t>
        </r>
      </text>
    </comment>
  </commentList>
</comments>
</file>

<file path=xl/sharedStrings.xml><?xml version="1.0" encoding="utf-8"?>
<sst xmlns="http://schemas.openxmlformats.org/spreadsheetml/2006/main" count="38" uniqueCount="33">
  <si>
    <t>Nome ativo</t>
  </si>
  <si>
    <t>Quantidade</t>
  </si>
  <si>
    <t>ALZR11</t>
  </si>
  <si>
    <t>BBAS3</t>
  </si>
  <si>
    <t>HCTR11</t>
  </si>
  <si>
    <t>HGBS11</t>
  </si>
  <si>
    <t>KISU11</t>
  </si>
  <si>
    <t>PETR4</t>
  </si>
  <si>
    <t>RECT11</t>
  </si>
  <si>
    <t>VALE3</t>
  </si>
  <si>
    <t>XPLG11</t>
  </si>
  <si>
    <t>XPML11</t>
  </si>
  <si>
    <t>Falta</t>
  </si>
  <si>
    <t>Carteira atual B3</t>
  </si>
  <si>
    <t>Falta R$</t>
  </si>
  <si>
    <t>Total investido R$</t>
  </si>
  <si>
    <t>Preço médio R$</t>
  </si>
  <si>
    <t>Objetivo 12/26</t>
  </si>
  <si>
    <t>OK</t>
  </si>
  <si>
    <t>Objetivo</t>
  </si>
  <si>
    <t>Inv. Mensal</t>
  </si>
  <si>
    <t>Valor atual B3</t>
  </si>
  <si>
    <t>Valor atual</t>
  </si>
  <si>
    <t>Objetivos 2026</t>
  </si>
  <si>
    <t>Investimento B3</t>
  </si>
  <si>
    <t>Reserva de oportunidade</t>
  </si>
  <si>
    <t>Reserva de emergência</t>
  </si>
  <si>
    <t>B3</t>
  </si>
  <si>
    <t>Oportunidade</t>
  </si>
  <si>
    <t>Emergência</t>
  </si>
  <si>
    <t>Reserva E.(Vlr At)</t>
  </si>
  <si>
    <t>Falta Total</t>
  </si>
  <si>
    <t>Inv.mensal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</si>
</sst>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name val="Calibri"/>
    </font>
    <font>
      <sz val="11"/>
      <name val="Calibri"/>
    </font>
    <font>
      <sz val="14"/>
      <name val="Calibri"/>
      <family val="2"/>
    </font>
    <font>
      <b/>
      <sz val="12"/>
      <name val="Calibri"/>
      <family val="2"/>
    </font>
    <font>
      <b/>
      <sz val="11"/>
      <color rgb="FF00B05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4"/>
      <name val="Algerian"/>
      <family val="5"/>
    </font>
    <font>
      <b/>
      <sz val="20"/>
      <color theme="0"/>
      <name val="Algerian"/>
      <family val="5"/>
    </font>
    <font>
      <sz val="14"/>
      <color theme="9" tint="-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3" fontId="4" fillId="3" borderId="0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3" fontId="4" fillId="3" borderId="14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164" fontId="9" fillId="6" borderId="4" xfId="0" applyNumberFormat="1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left" vertical="center"/>
    </xf>
    <xf numFmtId="164" fontId="9" fillId="6" borderId="17" xfId="0" applyNumberFormat="1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164" fontId="9" fillId="6" borderId="7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164" fontId="9" fillId="6" borderId="5" xfId="1" applyNumberFormat="1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showGridLines="0" showRowColHeaders="0" tabSelected="1" workbookViewId="0">
      <selection activeCell="O12" sqref="O12"/>
    </sheetView>
  </sheetViews>
  <sheetFormatPr defaultRowHeight="18"/>
  <cols>
    <col min="1" max="1" width="11.77734375" bestFit="1" customWidth="1"/>
    <col min="2" max="2" width="12.109375" bestFit="1" customWidth="1"/>
    <col min="3" max="3" width="15.6640625" bestFit="1" customWidth="1"/>
    <col min="4" max="4" width="18" bestFit="1" customWidth="1"/>
    <col min="5" max="5" width="9" style="2" bestFit="1" customWidth="1"/>
    <col min="6" max="6" width="15.109375" style="2" bestFit="1" customWidth="1"/>
    <col min="8" max="8" width="21.5546875" style="3" bestFit="1" customWidth="1"/>
    <col min="9" max="9" width="27.21875" style="3" bestFit="1" customWidth="1"/>
    <col min="10" max="10" width="18" style="3" bestFit="1" customWidth="1"/>
    <col min="11" max="11" width="13.6640625" style="3" bestFit="1" customWidth="1"/>
  </cols>
  <sheetData>
    <row r="1" spans="1:11">
      <c r="A1" s="23" t="s">
        <v>13</v>
      </c>
      <c r="B1" s="24"/>
      <c r="C1" s="24"/>
      <c r="D1" s="24"/>
      <c r="E1" s="24"/>
      <c r="F1" s="25"/>
      <c r="I1" s="29" t="s">
        <v>23</v>
      </c>
      <c r="J1" s="30"/>
    </row>
    <row r="2" spans="1:11" ht="18.600000000000001" thickBot="1">
      <c r="A2" s="26"/>
      <c r="B2" s="27"/>
      <c r="C2" s="27"/>
      <c r="D2" s="27"/>
      <c r="E2" s="27"/>
      <c r="F2" s="28"/>
      <c r="I2" s="31"/>
      <c r="J2" s="32"/>
    </row>
    <row r="3" spans="1:11" ht="18.600000000000001" thickBot="1">
      <c r="I3" s="33" t="s">
        <v>24</v>
      </c>
      <c r="J3" s="34">
        <v>40000</v>
      </c>
    </row>
    <row r="4" spans="1:11" ht="18.600000000000001" thickBot="1">
      <c r="A4" s="7" t="s">
        <v>0</v>
      </c>
      <c r="B4" s="8" t="s">
        <v>1</v>
      </c>
      <c r="C4" s="8" t="s">
        <v>16</v>
      </c>
      <c r="D4" s="8" t="s">
        <v>15</v>
      </c>
      <c r="E4" s="9" t="s">
        <v>14</v>
      </c>
      <c r="F4" s="10" t="s">
        <v>17</v>
      </c>
      <c r="I4" s="35" t="s">
        <v>25</v>
      </c>
      <c r="J4" s="36">
        <v>5000</v>
      </c>
    </row>
    <row r="5" spans="1:11" ht="18.600000000000001" thickBot="1">
      <c r="A5" s="11" t="s">
        <v>9</v>
      </c>
      <c r="B5" s="12">
        <v>52</v>
      </c>
      <c r="C5" s="13">
        <v>57.678462000000003</v>
      </c>
      <c r="D5" s="13">
        <f>B5*C5</f>
        <v>2999.2800240000001</v>
      </c>
      <c r="E5" s="13">
        <f t="shared" ref="E5:E11" si="0">3500-D5</f>
        <v>500.71997599999986</v>
      </c>
      <c r="F5" s="14">
        <v>4000</v>
      </c>
      <c r="I5" s="37" t="s">
        <v>26</v>
      </c>
      <c r="J5" s="38">
        <v>12000</v>
      </c>
    </row>
    <row r="6" spans="1:11" ht="18.600000000000001" thickBot="1">
      <c r="A6" s="11" t="s">
        <v>7</v>
      </c>
      <c r="B6" s="12">
        <v>97</v>
      </c>
      <c r="C6" s="13">
        <v>30.988659999999999</v>
      </c>
      <c r="D6" s="13">
        <f>B6*C6</f>
        <v>3005.90002</v>
      </c>
      <c r="E6" s="13">
        <f t="shared" si="0"/>
        <v>494.09997999999996</v>
      </c>
      <c r="F6" s="14">
        <v>4000</v>
      </c>
    </row>
    <row r="7" spans="1:11" ht="18.600000000000001" thickBot="1">
      <c r="A7" s="11" t="s">
        <v>2</v>
      </c>
      <c r="B7" s="12">
        <v>292</v>
      </c>
      <c r="C7" s="13">
        <v>10.302637000000001</v>
      </c>
      <c r="D7" s="13">
        <f>B7*C7</f>
        <v>3008.3700040000003</v>
      </c>
      <c r="E7" s="13">
        <f t="shared" si="0"/>
        <v>491.62999599999966</v>
      </c>
      <c r="F7" s="14">
        <v>4000</v>
      </c>
      <c r="H7" s="45" t="s">
        <v>27</v>
      </c>
    </row>
    <row r="8" spans="1:11">
      <c r="A8" s="11" t="s">
        <v>10</v>
      </c>
      <c r="B8" s="12">
        <v>29</v>
      </c>
      <c r="C8" s="13">
        <v>103.743448</v>
      </c>
      <c r="D8" s="13">
        <f>B8*C8</f>
        <v>3008.559992</v>
      </c>
      <c r="E8" s="13">
        <f t="shared" si="0"/>
        <v>491.44000800000003</v>
      </c>
      <c r="F8" s="14">
        <v>4000</v>
      </c>
      <c r="H8" s="39" t="s">
        <v>21</v>
      </c>
      <c r="I8" s="40" t="s">
        <v>19</v>
      </c>
      <c r="J8" s="40" t="s">
        <v>12</v>
      </c>
      <c r="K8" s="41" t="s">
        <v>20</v>
      </c>
    </row>
    <row r="9" spans="1:11" ht="18.600000000000001" thickBot="1">
      <c r="A9" s="11" t="s">
        <v>8</v>
      </c>
      <c r="B9" s="12">
        <v>85</v>
      </c>
      <c r="C9" s="13">
        <v>35.425294000000001</v>
      </c>
      <c r="D9" s="13">
        <f>B9*C9</f>
        <v>3011.1499899999999</v>
      </c>
      <c r="E9" s="13">
        <f t="shared" si="0"/>
        <v>488.85001000000011</v>
      </c>
      <c r="F9" s="14">
        <v>4000</v>
      </c>
      <c r="H9" s="42">
        <f>SUM(D5:D14)</f>
        <v>32037.858886000005</v>
      </c>
      <c r="I9" s="43">
        <f>SUM(F5:F14)</f>
        <v>40000</v>
      </c>
      <c r="J9" s="43">
        <f>I9-H9</f>
        <v>7962.1411139999946</v>
      </c>
      <c r="K9" s="44">
        <f>J9/10</f>
        <v>796.21411139999941</v>
      </c>
    </row>
    <row r="10" spans="1:11" ht="18.600000000000001" thickBot="1">
      <c r="A10" s="11" t="s">
        <v>11</v>
      </c>
      <c r="B10" s="12">
        <v>30</v>
      </c>
      <c r="C10" s="13">
        <v>104.87379300000001</v>
      </c>
      <c r="D10" s="13">
        <f>B10*C10</f>
        <v>3146.2137900000002</v>
      </c>
      <c r="E10" s="13">
        <f t="shared" si="0"/>
        <v>353.78620999999976</v>
      </c>
      <c r="F10" s="14">
        <v>4000</v>
      </c>
    </row>
    <row r="11" spans="1:11" ht="18.600000000000001" thickBot="1">
      <c r="A11" s="11" t="s">
        <v>3</v>
      </c>
      <c r="B11" s="12">
        <v>136</v>
      </c>
      <c r="C11" s="13">
        <v>24.258120000000002</v>
      </c>
      <c r="D11" s="13">
        <f>B11*C11</f>
        <v>3299.1043200000004</v>
      </c>
      <c r="E11" s="13">
        <f t="shared" si="0"/>
        <v>200.89567999999963</v>
      </c>
      <c r="F11" s="14">
        <v>4000</v>
      </c>
      <c r="H11" s="45" t="s">
        <v>28</v>
      </c>
    </row>
    <row r="12" spans="1:11">
      <c r="A12" s="15" t="s">
        <v>4</v>
      </c>
      <c r="B12" s="16">
        <v>127</v>
      </c>
      <c r="C12" s="17">
        <v>27.608319999999999</v>
      </c>
      <c r="D12" s="17">
        <f>B12*C12</f>
        <v>3506.2566400000001</v>
      </c>
      <c r="E12" s="17" t="s">
        <v>18</v>
      </c>
      <c r="F12" s="18">
        <v>4000</v>
      </c>
      <c r="H12" s="4" t="s">
        <v>22</v>
      </c>
      <c r="I12" s="4" t="s">
        <v>19</v>
      </c>
      <c r="J12" s="4" t="s">
        <v>12</v>
      </c>
      <c r="K12" s="4" t="s">
        <v>20</v>
      </c>
    </row>
    <row r="13" spans="1:11">
      <c r="A13" s="15" t="s">
        <v>6</v>
      </c>
      <c r="B13" s="16">
        <v>467</v>
      </c>
      <c r="C13" s="17">
        <v>7.5459529999999999</v>
      </c>
      <c r="D13" s="17">
        <f>B13*C13</f>
        <v>3523.960051</v>
      </c>
      <c r="E13" s="17" t="s">
        <v>18</v>
      </c>
      <c r="F13" s="18">
        <v>4000</v>
      </c>
      <c r="H13" s="6">
        <v>424</v>
      </c>
      <c r="I13" s="5">
        <v>5000</v>
      </c>
      <c r="J13" s="5">
        <f>I13-H13</f>
        <v>4576</v>
      </c>
      <c r="K13" s="5">
        <f>J13/12</f>
        <v>381.33333333333331</v>
      </c>
    </row>
    <row r="14" spans="1:11" ht="18.600000000000001" thickBot="1">
      <c r="A14" s="19" t="s">
        <v>5</v>
      </c>
      <c r="B14" s="20">
        <v>165</v>
      </c>
      <c r="C14" s="21">
        <v>21.388266999999999</v>
      </c>
      <c r="D14" s="21">
        <f>B14*C14</f>
        <v>3529.0640549999998</v>
      </c>
      <c r="E14" s="21" t="s">
        <v>18</v>
      </c>
      <c r="F14" s="22">
        <v>4000</v>
      </c>
    </row>
    <row r="15" spans="1:11" ht="18.600000000000001" thickBot="1">
      <c r="D15" s="1"/>
      <c r="H15" s="45" t="s">
        <v>29</v>
      </c>
    </row>
    <row r="16" spans="1:11">
      <c r="H16" s="4" t="s">
        <v>30</v>
      </c>
    </row>
    <row r="17" spans="8:10">
      <c r="H17" s="6">
        <v>12000</v>
      </c>
    </row>
    <row r="18" spans="8:10" ht="18.600000000000001" thickBot="1"/>
    <row r="19" spans="8:10">
      <c r="I19" s="46" t="s">
        <v>31</v>
      </c>
      <c r="J19" s="47" t="s">
        <v>32</v>
      </c>
    </row>
    <row r="20" spans="8:10" ht="18.600000000000001" thickBot="1">
      <c r="I20" s="48">
        <f>J9+J13</f>
        <v>12538.141113999995</v>
      </c>
      <c r="J20" s="49">
        <f>I20/12</f>
        <v>1044.845092833333</v>
      </c>
    </row>
  </sheetData>
  <mergeCells count="2">
    <mergeCell ref="A1:F2"/>
    <mergeCell ref="I1:J2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seus-ativos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moura ferreira</cp:lastModifiedBy>
  <dcterms:created xsi:type="dcterms:W3CDTF">2026-02-08T16:29:40Z</dcterms:created>
  <dcterms:modified xsi:type="dcterms:W3CDTF">2026-02-08T16:29:54Z</dcterms:modified>
</cp:coreProperties>
</file>